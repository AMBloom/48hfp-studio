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t List Template" sheetId="1" r:id="rId3"/>
    <sheet state="visible" name="Template Options" sheetId="2" r:id="rId4"/>
  </sheets>
  <definedNames>
    <definedName localSheetId="1" name="Scene1">'Template Options'!$A$2:$G$2</definedName>
    <definedName name="Scene1">'Shot List Template'!$B$4:$R$24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3">
      <text>
        <t xml:space="preserve">Check off a shot as it's completed.</t>
      </text>
    </comment>
    <comment authorId="0" ref="E3">
      <text>
        <t xml:space="preserve">Actor, landscape, or prop. 
Examples:
"Tom"
"Los Angeles Skyline"
"Newspaper"</t>
      </text>
    </comment>
    <comment authorId="0" ref="F3">
      <text>
        <t xml:space="preserve">Pro Tip: To update the drop-downs in this template, go to the "Template Options" tab and update the appropriate columns.</t>
      </text>
    </comment>
    <comment authorId="0" ref="N3">
      <text>
        <t xml:space="preserve">Mark takes while shooting. 
Circle favorite takes for dailies.</t>
      </text>
    </comment>
    <comment authorId="0" ref="O3">
      <text>
        <t xml:space="preserve">The estimate screen time for the shot.
Typically, 1 script page is equal to 1 minute in run time.</t>
      </text>
    </comment>
    <comment authorId="0" ref="P3">
      <text>
        <t xml:space="preserve">Estimate of how long to setup this shot.</t>
      </text>
    </comment>
    <comment authorId="0" ref="Q3">
      <text>
        <t xml:space="preserve">Approximation of how many takes you want to allocate to this shot.</t>
      </text>
    </comment>
    <comment authorId="0" ref="R3">
      <text>
        <t xml:space="preserve">Automatically calculated for you. We add 5 minutes of padding to every shot.
Do not manually edit / erase cells or else the formulas will stop working.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">
      <text>
        <t xml:space="preserve">Closeup (CU)</t>
      </text>
    </comment>
    <comment authorId="0" ref="A3">
      <text>
        <t xml:space="preserve">Medium Closeup (MCU)</t>
      </text>
    </comment>
    <comment authorId="0" ref="A4">
      <text>
        <t xml:space="preserve">Extreme Closeup (ECU)</t>
      </text>
    </comment>
    <comment authorId="0" ref="A5">
      <text>
        <t xml:space="preserve">Mid Shot (MS)</t>
      </text>
    </comment>
    <comment authorId="0" ref="A6">
      <text>
        <t xml:space="preserve">Full Shot (FS)</t>
      </text>
    </comment>
    <comment authorId="0" ref="A7">
      <text>
        <t xml:space="preserve">Long Shot (LS)</t>
      </text>
    </comment>
    <comment authorId="0" ref="A8">
      <text>
        <t xml:space="preserve">Medium Long Shot (MLS)</t>
      </text>
    </comment>
    <comment authorId="0" ref="A9">
      <text>
        <t xml:space="preserve">Extreme Long Shot (ELS)</t>
      </text>
    </comment>
    <comment authorId="0" ref="A10">
      <text>
        <t xml:space="preserve">Wide (W)</t>
      </text>
    </comment>
    <comment authorId="0" ref="A11">
      <text>
        <t xml:space="preserve">Over-the-Shoulder Closeup</t>
      </text>
    </comment>
    <comment authorId="0" ref="A12">
      <text>
        <t xml:space="preserve">Over-the-Shoulder Medium Closeup</t>
      </text>
    </comment>
    <comment authorId="0" ref="A13">
      <text>
        <t xml:space="preserve">Over-the-Shoulder Extreme Closeup</t>
      </text>
    </comment>
    <comment authorId="0" ref="A14">
      <text>
        <t xml:space="preserve">Over-the-Shoulder Midshot</t>
      </text>
    </comment>
  </commentList>
</comments>
</file>

<file path=xl/sharedStrings.xml><?xml version="1.0" encoding="utf-8"?>
<sst xmlns="http://schemas.openxmlformats.org/spreadsheetml/2006/main" count="158" uniqueCount="86">
  <si>
    <t>SHOT LIST · TOURING MAN</t>
  </si>
  <si>
    <t xml:space="preserve">SCENE # :  </t>
  </si>
  <si>
    <t>SCENE:</t>
  </si>
  <si>
    <t>INT. STUART'S CAR - DAY</t>
  </si>
  <si>
    <t>PAGES:</t>
  </si>
  <si>
    <t>1 1/8</t>
  </si>
  <si>
    <t>✓</t>
  </si>
  <si>
    <t>SETUP #</t>
  </si>
  <si>
    <t>SHOT #</t>
  </si>
  <si>
    <t>SUBJECT</t>
  </si>
  <si>
    <t>SHOT SIZE</t>
  </si>
  <si>
    <t>CAMERA</t>
  </si>
  <si>
    <t>ANGLE</t>
  </si>
  <si>
    <t>MOVEMENT</t>
  </si>
  <si>
    <t>EQUIPMENT</t>
  </si>
  <si>
    <t>LENS</t>
  </si>
  <si>
    <t>SOUND</t>
  </si>
  <si>
    <t>NOTES</t>
  </si>
  <si>
    <t>TAKE # (CIRCLE BEST)</t>
  </si>
  <si>
    <t>SCRIPT TIME
(MIN)</t>
  </si>
  <si>
    <t>SETUP TIME
(MIN)</t>
  </si>
  <si>
    <t>EST.
# OF TAKES</t>
  </si>
  <si>
    <t>SHOOT TIME
(MIN)</t>
  </si>
  <si>
    <t>Stuart, Claire</t>
  </si>
  <si>
    <t>CU</t>
  </si>
  <si>
    <t>A CAM</t>
  </si>
  <si>
    <t>Eyelevel</t>
  </si>
  <si>
    <t>Static</t>
  </si>
  <si>
    <t>Handheld</t>
  </si>
  <si>
    <t>28 mm</t>
  </si>
  <si>
    <t>SCENE NOTES:</t>
  </si>
  <si>
    <t>TOTAL SHOOT TIME FOR SCENE (HOURS):</t>
  </si>
  <si>
    <t>EXT. NEIGHBORHOOD - DAY</t>
  </si>
  <si>
    <t>Boom</t>
  </si>
  <si>
    <t>Strumming guitar in scene. Guitar lavs needed.</t>
  </si>
  <si>
    <t>INT. SKIPP'S BAR - STAGE AREA - NIGHT</t>
  </si>
  <si>
    <t xml:space="preserve">  Production Management Made Modern. Create stripboards, shooting schedules, call sheets and more on studiobinder.com</t>
  </si>
  <si>
    <t>MCU</t>
  </si>
  <si>
    <t>B CAM</t>
  </si>
  <si>
    <t>Low Angle</t>
  </si>
  <si>
    <t>Pan</t>
  </si>
  <si>
    <t>Sticks / Tripod</t>
  </si>
  <si>
    <t>35 mm</t>
  </si>
  <si>
    <t>Lav</t>
  </si>
  <si>
    <t>ECU</t>
  </si>
  <si>
    <t>C CAM</t>
  </si>
  <si>
    <t>High Angle</t>
  </si>
  <si>
    <t>Tilt</t>
  </si>
  <si>
    <t>Jib Arm</t>
  </si>
  <si>
    <t>50 mm</t>
  </si>
  <si>
    <t>Lav &amp; Boom</t>
  </si>
  <si>
    <t>MS</t>
  </si>
  <si>
    <t>D CAM</t>
  </si>
  <si>
    <t>Extreme Low</t>
  </si>
  <si>
    <t>Pedestal</t>
  </si>
  <si>
    <t>Dolly</t>
  </si>
  <si>
    <t>85 mm</t>
  </si>
  <si>
    <t>Lavs &amp; Boom</t>
  </si>
  <si>
    <t>FS</t>
  </si>
  <si>
    <t>Extreme High</t>
  </si>
  <si>
    <t>Steadicam</t>
  </si>
  <si>
    <t>TBD</t>
  </si>
  <si>
    <t>MOS</t>
  </si>
  <si>
    <t>LS</t>
  </si>
  <si>
    <t>Dutch Tilt</t>
  </si>
  <si>
    <t>Movi</t>
  </si>
  <si>
    <t>MLS</t>
  </si>
  <si>
    <t>POV</t>
  </si>
  <si>
    <t>Truck</t>
  </si>
  <si>
    <t>Technocrane</t>
  </si>
  <si>
    <t>ELS</t>
  </si>
  <si>
    <t>Arc</t>
  </si>
  <si>
    <t>Condor</t>
  </si>
  <si>
    <t>W</t>
  </si>
  <si>
    <t>Cherry Picker</t>
  </si>
  <si>
    <t>CU (OTS)</t>
  </si>
  <si>
    <t>Camera Car</t>
  </si>
  <si>
    <t>MCU (OTS)</t>
  </si>
  <si>
    <t>Crane / Boom</t>
  </si>
  <si>
    <t>Drone</t>
  </si>
  <si>
    <t>ECU (OTS)</t>
  </si>
  <si>
    <t>Tracking Shot</t>
  </si>
  <si>
    <t>Helicam</t>
  </si>
  <si>
    <t>MS (OTS)</t>
  </si>
  <si>
    <t>Zoom</t>
  </si>
  <si>
    <t>Rack Focus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</si>
</sst>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25">
    <font>
      <sz val="10.0"/>
      <color rgb="FF000000"/>
      <name val="Arial"/>
    </font>
    <font>
      <sz val="18.0"/>
      <color rgb="FFEBEFF2"/>
      <name val="Quicksand"/>
    </font>
    <font>
      <sz val="16.0"/>
      <color rgb="FFEBEFF2"/>
      <name val="Quicksand"/>
    </font>
    <font/>
    <font>
      <name val="Arial"/>
    </font>
    <font>
      <b/>
      <i/>
      <sz val="8.0"/>
      <color rgb="FFEBEFF2"/>
      <name val="Open Sans"/>
    </font>
    <font>
      <i/>
      <sz val="9.0"/>
      <color rgb="FFEBEFF2"/>
      <name val="Open Sans"/>
    </font>
    <font>
      <b/>
      <sz val="9.0"/>
      <color rgb="FF404E5C"/>
      <name val="Open Sans"/>
    </font>
    <font>
      <b/>
      <sz val="8.0"/>
      <color rgb="FF404E5C"/>
      <name val="Open Sans"/>
    </font>
    <font>
      <sz val="9.0"/>
      <color rgb="FF464E54"/>
      <name val="Open Sans"/>
    </font>
    <font>
      <sz val="9.0"/>
      <color rgb="FF6C7780"/>
      <name val="Open Sans"/>
    </font>
    <font>
      <sz val="8.0"/>
      <color rgb="FF404E5C"/>
      <name val="Open Sans"/>
    </font>
    <font>
      <b/>
      <sz val="10.0"/>
      <color rgb="FF404E5C"/>
      <name val="Open Sans"/>
    </font>
    <font>
      <sz val="9.0"/>
      <name val="Open Sans"/>
    </font>
    <font>
      <u/>
      <sz val="9.0"/>
      <name val="Open Sans"/>
    </font>
    <font>
      <u/>
      <sz val="9.0"/>
      <color rgb="FFFFFFFF"/>
      <name val="Open Sans"/>
    </font>
    <font>
      <u/>
      <sz val="9.0"/>
      <color rgb="FFFFFFFF"/>
      <name val="Open Sans"/>
    </font>
    <font>
      <u/>
      <sz val="9.0"/>
      <color rgb="FFFFFFFF"/>
      <name val="Open Sans"/>
    </font>
    <font>
      <i/>
      <sz val="9.0"/>
      <color rgb="FFA3ABB3"/>
      <name val="Open Sans"/>
    </font>
    <font>
      <u/>
      <sz val="9.0"/>
      <color rgb="FF6FA8DC"/>
      <name val="Open Sans"/>
    </font>
    <font>
      <color rgb="FFFFFFFF"/>
      <name val="Open Sans"/>
    </font>
    <font>
      <sz val="10.0"/>
      <color rgb="FFFFFFFF"/>
      <name val="Open Sans"/>
    </font>
    <font>
      <color rgb="FF464E54"/>
      <name val="Open Sans"/>
    </font>
    <font>
      <sz val="10.0"/>
      <color rgb="FF464E54"/>
      <name val="Open Sans"/>
    </font>
    <font>
      <color rgb="FF464E5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04E5C"/>
        <bgColor rgb="FF404E5C"/>
      </patternFill>
    </fill>
    <fill>
      <patternFill patternType="solid">
        <fgColor rgb="FF4B5A6B"/>
        <bgColor rgb="FF4B5A6B"/>
      </patternFill>
    </fill>
    <fill>
      <patternFill patternType="solid">
        <fgColor rgb="FFEBEFF2"/>
        <bgColor rgb="FFEBEFF2"/>
      </patternFill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</fills>
  <borders count="25">
    <border/>
    <border>
      <left style="thin">
        <color rgb="FF404E5C"/>
      </left>
      <top style="thin">
        <color rgb="FF404E5C"/>
      </top>
      <bottom style="thin">
        <color rgb="FF404E5C"/>
      </bottom>
    </border>
    <border>
      <top style="thin">
        <color rgb="FF404E5C"/>
      </top>
      <bottom style="thin">
        <color rgb="FF404E5C"/>
      </bottom>
    </border>
    <border>
      <right style="thin">
        <color rgb="FF404E5C"/>
      </right>
      <top style="thin">
        <color rgb="FF404E5C"/>
      </top>
      <bottom style="thin">
        <color rgb="FF404E5C"/>
      </bottom>
    </border>
    <border>
      <bottom style="thin">
        <color rgb="FFDCE2E6"/>
      </bottom>
    </border>
    <border>
      <right style="thin">
        <color rgb="FFDCE2E6"/>
      </right>
      <bottom style="thin">
        <color rgb="FFDCE2E6"/>
      </bottom>
    </border>
    <border>
      <left style="thin">
        <color rgb="FFDCE2E6"/>
      </left>
      <right style="thin">
        <color rgb="FFDCE2E6"/>
      </right>
      <bottom style="thin">
        <color rgb="FFDCE2E6"/>
      </bottom>
    </border>
    <border>
      <left style="thin">
        <color rgb="FFDCE2E6"/>
      </left>
      <bottom style="thin">
        <color rgb="FFDCE2E6"/>
      </bottom>
    </border>
    <border>
      <left style="thin">
        <color rgb="FFEBEFF2"/>
      </left>
      <bottom style="thin">
        <color rgb="FFEBEFF2"/>
      </bottom>
    </border>
    <border>
      <bottom style="thin">
        <color rgb="FFEBEFF2"/>
      </bottom>
    </border>
    <border>
      <left style="thin">
        <color rgb="FFEBEFF2"/>
      </left>
      <right style="thin">
        <color rgb="FFEBEFF2"/>
      </right>
      <bottom style="thin">
        <color rgb="FFEBEFF2"/>
      </bottom>
    </border>
    <border>
      <left style="thin">
        <color rgb="FFDCE2E6"/>
      </left>
      <top style="thin">
        <color rgb="FFDCE2E6"/>
      </top>
      <bottom style="thin">
        <color rgb="FFDCE2E6"/>
      </bottom>
    </border>
    <border>
      <right style="thin">
        <color rgb="FFDCE2E6"/>
      </right>
      <top style="thin">
        <color rgb="FFDCE2E6"/>
      </top>
      <bottom style="thin">
        <color rgb="FFDCE2E6"/>
      </bottom>
    </border>
    <border>
      <left style="thin">
        <color rgb="FFEBEFF2"/>
      </left>
      <right style="thin">
        <color rgb="FFEBEFF2"/>
      </right>
      <top style="thin">
        <color rgb="FFEBEFF2"/>
      </top>
      <bottom style="thin">
        <color rgb="FFEBEFF2"/>
      </bottom>
    </border>
    <border>
      <left style="thin">
        <color rgb="FFEBEFF2"/>
      </left>
      <top style="thin">
        <color rgb="FFEBEFF2"/>
      </top>
      <bottom style="thin">
        <color rgb="FFEBEFF2"/>
      </bottom>
    </border>
    <border>
      <left style="thin">
        <color rgb="FFEBEFF2"/>
      </left>
      <right style="thin">
        <color rgb="FFEBEFF2"/>
      </right>
      <top style="thin">
        <color rgb="FFEBEFF2"/>
      </top>
    </border>
    <border>
      <left style="thin">
        <color rgb="FFEBEFF2"/>
      </left>
      <top style="thin">
        <color rgb="FFEBEFF2"/>
      </top>
    </border>
    <border>
      <left style="thin">
        <color rgb="FFDCE2E6"/>
      </left>
      <top style="thin">
        <color rgb="FFDCE2E6"/>
      </top>
    </border>
    <border>
      <right style="thin">
        <color rgb="FFDCE2E6"/>
      </right>
      <top style="thin">
        <color rgb="FFDCE2E6"/>
      </top>
    </border>
    <border>
      <top style="thin">
        <color rgb="FFDCE2E6"/>
      </top>
      <bottom style="thin">
        <color rgb="FFDCE2E6"/>
      </bottom>
    </border>
    <border>
      <left style="thin">
        <color rgb="FFEBEFF2"/>
      </left>
    </border>
    <border>
      <left style="thin">
        <color rgb="FF404E5C"/>
      </left>
      <bottom style="thin">
        <color rgb="FF404E5C"/>
      </bottom>
    </border>
    <border>
      <bottom style="thin">
        <color rgb="FF404E5C"/>
      </bottom>
    </border>
    <border>
      <left style="thin">
        <color rgb="FF404E5C"/>
      </left>
      <right style="thin">
        <color rgb="FF404E5C"/>
      </right>
      <bottom style="thin">
        <color rgb="FF404E5C"/>
      </bottom>
    </border>
    <border>
      <right style="thin">
        <color rgb="FF404E5C"/>
      </right>
      <bottom style="thin">
        <color rgb="FF404E5C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shrinkToFit="0" wrapText="1"/>
    </xf>
    <xf borderId="3" fillId="2" fontId="1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2" fillId="3" fontId="5" numFmtId="0" xfId="0" applyAlignment="1" applyBorder="1" applyFont="1">
      <alignment horizontal="right" shrinkToFit="0" vertical="center" wrapText="1"/>
    </xf>
    <xf borderId="2" fillId="3" fontId="6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shrinkToFit="0" wrapText="1"/>
    </xf>
    <xf borderId="6" fillId="4" fontId="8" numFmtId="0" xfId="0" applyAlignment="1" applyBorder="1" applyFont="1">
      <alignment horizontal="center" readingOrder="0" shrinkToFit="0" vertical="center" wrapText="1"/>
    </xf>
    <xf borderId="7" fillId="4" fontId="8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center" readingOrder="0" shrinkToFit="0" vertical="center" wrapText="1"/>
    </xf>
    <xf borderId="8" fillId="5" fontId="9" numFmtId="0" xfId="0" applyAlignment="1" applyBorder="1" applyFill="1" applyFont="1">
      <alignment horizontal="center" readingOrder="0" shrinkToFit="0" vertical="center" wrapText="1"/>
    </xf>
    <xf borderId="9" fillId="0" fontId="3" numFmtId="0" xfId="0" applyAlignment="1" applyBorder="1" applyFont="1">
      <alignment shrinkToFit="0" wrapText="1"/>
    </xf>
    <xf borderId="10" fillId="5" fontId="9" numFmtId="0" xfId="0" applyAlignment="1" applyBorder="1" applyFont="1">
      <alignment horizontal="center" readingOrder="0" shrinkToFit="0" vertical="center" wrapText="1"/>
    </xf>
    <xf borderId="10" fillId="5" fontId="9" numFmtId="0" xfId="0" applyAlignment="1" applyBorder="1" applyFont="1">
      <alignment horizontal="left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8" fillId="5" fontId="9" numFmtId="0" xfId="0" applyAlignment="1" applyBorder="1" applyFont="1">
      <alignment horizontal="left" readingOrder="0" shrinkToFit="0" vertical="center" wrapText="1"/>
    </xf>
    <xf borderId="7" fillId="6" fontId="9" numFmtId="0" xfId="0" applyAlignment="1" applyBorder="1" applyFill="1" applyFont="1">
      <alignment horizontal="center" readingOrder="0" shrinkToFit="0" vertical="center" wrapText="1"/>
    </xf>
    <xf borderId="5" fillId="6" fontId="10" numFmtId="0" xfId="0" applyAlignment="1" applyBorder="1" applyFont="1">
      <alignment horizontal="center" readingOrder="0" shrinkToFit="0" vertical="center" wrapText="1"/>
    </xf>
    <xf borderId="11" fillId="6" fontId="9" numFmtId="0" xfId="0" applyAlignment="1" applyBorder="1" applyFont="1">
      <alignment horizontal="center" readingOrder="0" shrinkToFit="0" vertical="center" wrapText="1"/>
    </xf>
    <xf borderId="12" fillId="6" fontId="10" numFmtId="0" xfId="0" applyAlignment="1" applyBorder="1" applyFont="1">
      <alignment horizontal="center" readingOrder="0" shrinkToFit="0" vertical="center" wrapText="1"/>
    </xf>
    <xf borderId="13" fillId="5" fontId="9" numFmtId="0" xfId="0" applyAlignment="1" applyBorder="1" applyFont="1">
      <alignment horizontal="center" readingOrder="0" shrinkToFit="0" vertical="center" wrapText="1"/>
    </xf>
    <xf borderId="13" fillId="5" fontId="9" numFmtId="0" xfId="0" applyAlignment="1" applyBorder="1" applyFont="1">
      <alignment horizontal="left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4" fillId="5" fontId="9" numFmtId="0" xfId="0" applyAlignment="1" applyBorder="1" applyFont="1">
      <alignment horizontal="left" shrinkToFit="0" vertical="center" wrapText="1"/>
    </xf>
    <xf borderId="14" fillId="5" fontId="9" numFmtId="0" xfId="0" applyAlignment="1" applyBorder="1" applyFont="1">
      <alignment horizontal="center" readingOrder="0" shrinkToFit="0" vertical="center" wrapText="1"/>
    </xf>
    <xf borderId="15" fillId="5" fontId="9" numFmtId="0" xfId="0" applyAlignment="1" applyBorder="1" applyFont="1">
      <alignment horizontal="center" readingOrder="0" shrinkToFit="0" vertical="center" wrapText="1"/>
    </xf>
    <xf borderId="15" fillId="5" fontId="9" numFmtId="0" xfId="0" applyAlignment="1" applyBorder="1" applyFont="1">
      <alignment horizontal="left" readingOrder="0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16" fillId="5" fontId="9" numFmtId="0" xfId="0" applyAlignment="1" applyBorder="1" applyFont="1">
      <alignment horizontal="left" shrinkToFit="0" vertical="center" wrapText="1"/>
    </xf>
    <xf borderId="16" fillId="5" fontId="9" numFmtId="0" xfId="0" applyAlignment="1" applyBorder="1" applyFont="1">
      <alignment horizontal="center" readingOrder="0" shrinkToFit="0" vertical="center" wrapText="1"/>
    </xf>
    <xf borderId="17" fillId="6" fontId="9" numFmtId="0" xfId="0" applyAlignment="1" applyBorder="1" applyFont="1">
      <alignment horizontal="center" readingOrder="0" shrinkToFit="0" vertical="center" wrapText="1"/>
    </xf>
    <xf borderId="18" fillId="6" fontId="10" numFmtId="0" xfId="0" applyAlignment="1" applyBorder="1" applyFont="1">
      <alignment horizontal="center" readingOrder="0" shrinkToFit="0" vertical="center" wrapText="1"/>
    </xf>
    <xf borderId="11" fillId="4" fontId="10" numFmtId="0" xfId="0" applyAlignment="1" applyBorder="1" applyFont="1">
      <alignment horizontal="center" readingOrder="0" shrinkToFit="0" vertical="center" wrapText="1"/>
    </xf>
    <xf borderId="19" fillId="4" fontId="8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shrinkToFit="0" wrapText="1"/>
    </xf>
    <xf borderId="11" fillId="4" fontId="11" numFmtId="0" xfId="0" applyAlignment="1" applyBorder="1" applyFont="1">
      <alignment horizontal="center" readingOrder="0" shrinkToFit="0" vertical="center" wrapText="1"/>
    </xf>
    <xf borderId="11" fillId="4" fontId="7" numFmtId="0" xfId="0" applyAlignment="1" applyBorder="1" applyFont="1">
      <alignment horizontal="right" readingOrder="0" shrinkToFit="0" vertical="center" wrapText="1"/>
    </xf>
    <xf borderId="11" fillId="4" fontId="12" numFmtId="0" xfId="0" applyAlignment="1" applyBorder="1" applyFont="1">
      <alignment horizontal="center" readingOrder="0" shrinkToFit="0" vertical="center" wrapText="1"/>
    </xf>
    <xf borderId="12" fillId="4" fontId="10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3" numFmtId="164" xfId="0" applyAlignment="1" applyFont="1" applyNumberFormat="1">
      <alignment shrinkToFit="0" vertical="center" wrapText="1"/>
    </xf>
    <xf borderId="2" fillId="3" fontId="6" numFmtId="0" xfId="0" applyAlignment="1" applyBorder="1" applyFont="1">
      <alignment horizontal="left" readingOrder="0" shrinkToFit="0" vertical="center" wrapText="1"/>
    </xf>
    <xf borderId="14" fillId="5" fontId="9" numFmtId="0" xfId="0" applyAlignment="1" applyBorder="1" applyFont="1">
      <alignment horizontal="left" readingOrder="0" shrinkToFit="0" vertical="center" wrapText="1"/>
    </xf>
    <xf borderId="18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shrinkToFit="0" wrapText="1"/>
    </xf>
    <xf borderId="20" fillId="5" fontId="9" numFmtId="0" xfId="0" applyAlignment="1" applyBorder="1" applyFont="1">
      <alignment horizontal="center" readingOrder="0" shrinkToFit="0" vertical="center" wrapText="1"/>
    </xf>
    <xf borderId="21" fillId="2" fontId="13" numFmtId="0" xfId="0" applyAlignment="1" applyBorder="1" applyFont="1">
      <alignment shrinkToFit="0" vertical="center" wrapText="1"/>
    </xf>
    <xf borderId="22" fillId="2" fontId="13" numFmtId="0" xfId="0" applyAlignment="1" applyBorder="1" applyFont="1">
      <alignment shrinkToFit="0" vertical="center" wrapText="1"/>
    </xf>
    <xf borderId="22" fillId="2" fontId="13" numFmtId="0" xfId="0" applyAlignment="1" applyBorder="1" applyFont="1">
      <alignment horizontal="center" shrinkToFit="0" vertical="center" wrapText="1"/>
    </xf>
    <xf borderId="22" fillId="2" fontId="15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shrinkToFit="0" wrapText="1"/>
    </xf>
    <xf borderId="22" fillId="2" fontId="13" numFmtId="164" xfId="0" applyAlignment="1" applyBorder="1" applyFont="1" applyNumberFormat="1">
      <alignment shrinkToFit="0" vertical="center" wrapText="1"/>
    </xf>
    <xf borderId="23" fillId="2" fontId="16" numFmtId="0" xfId="0" applyAlignment="1" applyBorder="1" applyFont="1">
      <alignment horizontal="center" shrinkToFit="0" vertical="center" wrapText="1"/>
    </xf>
    <xf borderId="24" fillId="2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10" xfId="0" applyAlignment="1" applyFont="1" applyNumberFormat="1">
      <alignment horizontal="center" readingOrder="0" shrinkToFit="0" vertical="center" wrapText="1"/>
    </xf>
    <xf borderId="0" fillId="2" fontId="20" numFmtId="0" xfId="0" applyAlignment="1" applyFont="1">
      <alignment horizontal="center" shrinkToFit="0" vertical="center" wrapText="1"/>
    </xf>
    <xf borderId="0" fillId="2" fontId="21" numFmtId="0" xfId="0" applyAlignment="1" applyFont="1">
      <alignment horizontal="center" readingOrder="0" shrinkToFit="0" vertical="center" wrapText="1"/>
    </xf>
    <xf borderId="0" fillId="2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5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5" fontId="24" numFmtId="0" xfId="0" applyAlignment="1" applyFont="1">
      <alignment shrinkToFit="0" vertical="center" wrapText="1"/>
    </xf>
    <xf borderId="0" fillId="0" fontId="24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2.75"/>
  <cols>
    <col customWidth="1" min="1" max="1" width="1.57"/>
    <col customWidth="1" min="2" max="4" width="8.0"/>
    <col customWidth="1" min="5" max="5" width="13.29"/>
    <col customWidth="1" min="6" max="12" width="11.86"/>
    <col customWidth="1" min="13" max="13" width="15.29"/>
    <col customWidth="1" min="14" max="14" width="17.43"/>
    <col customWidth="1" min="15" max="18" width="7.86"/>
    <col customWidth="1" min="19" max="19" width="1.57"/>
  </cols>
  <sheetData>
    <row r="1" ht="39.0" customHeight="1">
      <c r="A1" s="1"/>
      <c r="B1" s="2" t="str">
        <f>IMAGE("https://www.studiobinder.com/wp-content/uploads/2016/07/studiobinder-white-symbol.png", 4, 26, 27.51)</f>
        <v/>
      </c>
      <c r="C1" s="3" t="s">
        <v>0</v>
      </c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5"/>
    </row>
    <row r="2" ht="23.25" customHeight="1">
      <c r="A2" s="6"/>
      <c r="B2" s="7" t="s">
        <v>1</v>
      </c>
      <c r="C2" s="8">
        <v>1.0</v>
      </c>
      <c r="D2" s="9" t="s">
        <v>2</v>
      </c>
      <c r="E2" s="8" t="s">
        <v>3</v>
      </c>
      <c r="F2" s="4"/>
      <c r="G2" s="4"/>
      <c r="H2" s="7" t="s">
        <v>4</v>
      </c>
      <c r="I2" s="8" t="s">
        <v>5</v>
      </c>
      <c r="J2" s="10"/>
      <c r="K2" s="10"/>
      <c r="L2" s="10"/>
      <c r="M2" s="10"/>
      <c r="N2" s="10"/>
      <c r="O2" s="10"/>
      <c r="P2" s="10"/>
      <c r="Q2" s="10"/>
      <c r="R2" s="10"/>
      <c r="S2" s="11"/>
    </row>
    <row r="3" ht="35.25" customHeight="1">
      <c r="A3" s="12" t="s">
        <v>6</v>
      </c>
      <c r="B3" s="13"/>
      <c r="C3" s="14" t="s">
        <v>7</v>
      </c>
      <c r="D3" s="14" t="s">
        <v>8</v>
      </c>
      <c r="E3" s="14" t="s">
        <v>9</v>
      </c>
      <c r="F3" s="14" t="s">
        <v>10</v>
      </c>
      <c r="G3" s="14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4" t="s">
        <v>17</v>
      </c>
      <c r="N3" s="15" t="s">
        <v>18</v>
      </c>
      <c r="O3" s="14" t="s">
        <v>19</v>
      </c>
      <c r="P3" s="14" t="s">
        <v>20</v>
      </c>
      <c r="Q3" s="14" t="s">
        <v>21</v>
      </c>
      <c r="R3" s="15" t="s">
        <v>22</v>
      </c>
      <c r="S3" s="16"/>
    </row>
    <row r="4" ht="35.25" customHeight="1">
      <c r="A4" s="17"/>
      <c r="B4" s="18"/>
      <c r="C4" s="19">
        <v>1.0</v>
      </c>
      <c r="D4" s="19">
        <v>1.0</v>
      </c>
      <c r="E4" s="20" t="s">
        <v>23</v>
      </c>
      <c r="F4" s="19" t="s">
        <v>24</v>
      </c>
      <c r="G4" s="19" t="s">
        <v>25</v>
      </c>
      <c r="H4" s="19" t="s">
        <v>26</v>
      </c>
      <c r="I4" s="19" t="s">
        <v>27</v>
      </c>
      <c r="J4" s="21" t="s">
        <v>28</v>
      </c>
      <c r="K4" s="19" t="s">
        <v>29</v>
      </c>
      <c r="L4" s="19"/>
      <c r="M4" s="20"/>
      <c r="N4" s="22"/>
      <c r="O4" s="19"/>
      <c r="P4" s="19"/>
      <c r="Q4" s="17"/>
      <c r="R4" s="23">
        <f t="shared" ref="R4:R11" si="1">ROUND(P4+(O4+5)*Q4,0)</f>
        <v>0</v>
      </c>
      <c r="S4" s="24"/>
    </row>
    <row r="5" ht="35.25" customHeight="1">
      <c r="A5" s="17"/>
      <c r="B5" s="18"/>
      <c r="C5" s="19"/>
      <c r="D5" s="19"/>
      <c r="E5" s="20"/>
      <c r="F5" s="19"/>
      <c r="G5" s="19"/>
      <c r="H5" s="19"/>
      <c r="I5" s="19"/>
      <c r="J5" s="21"/>
      <c r="K5" s="19"/>
      <c r="L5" s="19"/>
      <c r="M5" s="20"/>
      <c r="N5" s="22"/>
      <c r="O5" s="19"/>
      <c r="P5" s="19"/>
      <c r="Q5" s="17"/>
      <c r="R5" s="25">
        <f t="shared" si="1"/>
        <v>0</v>
      </c>
      <c r="S5" s="26"/>
    </row>
    <row r="6" ht="35.25" customHeight="1">
      <c r="A6" s="17"/>
      <c r="B6" s="18"/>
      <c r="C6" s="27"/>
      <c r="D6" s="27"/>
      <c r="E6" s="28"/>
      <c r="F6" s="27"/>
      <c r="G6" s="27"/>
      <c r="H6" s="27"/>
      <c r="I6" s="27"/>
      <c r="J6" s="29"/>
      <c r="K6" s="27"/>
      <c r="L6" s="27"/>
      <c r="M6" s="28"/>
      <c r="N6" s="30"/>
      <c r="O6" s="27"/>
      <c r="P6" s="27"/>
      <c r="Q6" s="31"/>
      <c r="R6" s="25">
        <f t="shared" si="1"/>
        <v>0</v>
      </c>
      <c r="S6" s="26"/>
    </row>
    <row r="7" ht="35.25" customHeight="1">
      <c r="A7" s="17"/>
      <c r="B7" s="18"/>
      <c r="C7" s="27"/>
      <c r="D7" s="27"/>
      <c r="E7" s="28"/>
      <c r="F7" s="27"/>
      <c r="G7" s="27"/>
      <c r="H7" s="27"/>
      <c r="I7" s="27"/>
      <c r="J7" s="29"/>
      <c r="K7" s="27"/>
      <c r="L7" s="27"/>
      <c r="M7" s="28"/>
      <c r="N7" s="30"/>
      <c r="O7" s="27"/>
      <c r="P7" s="27"/>
      <c r="Q7" s="31"/>
      <c r="R7" s="25">
        <f t="shared" si="1"/>
        <v>0</v>
      </c>
      <c r="S7" s="26"/>
    </row>
    <row r="8" ht="35.25" customHeight="1">
      <c r="A8" s="17"/>
      <c r="B8" s="18"/>
      <c r="C8" s="27"/>
      <c r="D8" s="27"/>
      <c r="E8" s="28"/>
      <c r="F8" s="27"/>
      <c r="G8" s="27"/>
      <c r="H8" s="27"/>
      <c r="I8" s="27"/>
      <c r="J8" s="29"/>
      <c r="K8" s="27"/>
      <c r="L8" s="27"/>
      <c r="M8" s="28"/>
      <c r="N8" s="30"/>
      <c r="O8" s="27"/>
      <c r="P8" s="27"/>
      <c r="Q8" s="31"/>
      <c r="R8" s="25">
        <f t="shared" si="1"/>
        <v>0</v>
      </c>
      <c r="S8" s="26"/>
    </row>
    <row r="9" ht="35.25" customHeight="1">
      <c r="A9" s="17"/>
      <c r="B9" s="18"/>
      <c r="C9" s="27"/>
      <c r="D9" s="27"/>
      <c r="E9" s="28"/>
      <c r="F9" s="27"/>
      <c r="G9" s="27"/>
      <c r="H9" s="27"/>
      <c r="I9" s="27"/>
      <c r="J9" s="29"/>
      <c r="K9" s="27"/>
      <c r="L9" s="27"/>
      <c r="M9" s="28"/>
      <c r="N9" s="30"/>
      <c r="O9" s="27"/>
      <c r="P9" s="27"/>
      <c r="Q9" s="31"/>
      <c r="R9" s="25">
        <f t="shared" si="1"/>
        <v>0</v>
      </c>
      <c r="S9" s="26"/>
    </row>
    <row r="10" ht="35.25" customHeight="1">
      <c r="A10" s="17"/>
      <c r="B10" s="18"/>
      <c r="C10" s="27"/>
      <c r="D10" s="27"/>
      <c r="E10" s="28"/>
      <c r="F10" s="27"/>
      <c r="G10" s="27"/>
      <c r="H10" s="27"/>
      <c r="I10" s="27"/>
      <c r="J10" s="29"/>
      <c r="K10" s="27"/>
      <c r="L10" s="27"/>
      <c r="M10" s="28"/>
      <c r="N10" s="30"/>
      <c r="O10" s="27"/>
      <c r="P10" s="27"/>
      <c r="Q10" s="31"/>
      <c r="R10" s="25">
        <f t="shared" si="1"/>
        <v>0</v>
      </c>
      <c r="S10" s="26"/>
    </row>
    <row r="11" ht="35.25" customHeight="1">
      <c r="A11" s="17"/>
      <c r="B11" s="18"/>
      <c r="C11" s="32"/>
      <c r="D11" s="32"/>
      <c r="E11" s="33"/>
      <c r="F11" s="33"/>
      <c r="G11" s="32"/>
      <c r="H11" s="32"/>
      <c r="I11" s="32"/>
      <c r="J11" s="34"/>
      <c r="K11" s="32"/>
      <c r="L11" s="32"/>
      <c r="M11" s="33"/>
      <c r="N11" s="35"/>
      <c r="O11" s="32"/>
      <c r="P11" s="32"/>
      <c r="Q11" s="36"/>
      <c r="R11" s="37">
        <f t="shared" si="1"/>
        <v>0</v>
      </c>
      <c r="S11" s="38"/>
    </row>
    <row r="12" ht="33.0" customHeight="1">
      <c r="A12" s="39"/>
      <c r="B12" s="40" t="s">
        <v>30</v>
      </c>
      <c r="C12" s="41"/>
      <c r="D12" s="42"/>
      <c r="E12" s="41"/>
      <c r="F12" s="41"/>
      <c r="G12" s="41"/>
      <c r="H12" s="41"/>
      <c r="I12" s="41"/>
      <c r="J12" s="41"/>
      <c r="K12" s="41"/>
      <c r="L12" s="41"/>
      <c r="M12" s="41"/>
      <c r="N12" s="43" t="s">
        <v>31</v>
      </c>
      <c r="O12" s="41"/>
      <c r="P12" s="41"/>
      <c r="Q12" s="41"/>
      <c r="R12" s="44">
        <f>round(SUM(R4:R11)/60, 1)</f>
        <v>0</v>
      </c>
      <c r="S12" s="45"/>
    </row>
    <row r="13" ht="24.0" customHeight="1">
      <c r="A13" s="46"/>
      <c r="B13" s="46"/>
      <c r="C13" s="46"/>
      <c r="D13" s="47"/>
      <c r="E13" s="48"/>
      <c r="F13" s="46"/>
      <c r="G13" s="48"/>
      <c r="H13" s="48"/>
      <c r="I13" s="48"/>
      <c r="J13" s="48"/>
      <c r="K13" s="48"/>
      <c r="L13" s="49"/>
      <c r="M13" s="48"/>
      <c r="N13" s="48"/>
      <c r="O13" s="48"/>
      <c r="P13" s="48"/>
      <c r="Q13" s="48"/>
      <c r="R13" s="48"/>
      <c r="S13" s="48"/>
    </row>
    <row r="14" ht="23.25" customHeight="1">
      <c r="A14" s="6"/>
      <c r="B14" s="7" t="s">
        <v>1</v>
      </c>
      <c r="C14" s="50">
        <v>2.0</v>
      </c>
      <c r="D14" s="9" t="s">
        <v>2</v>
      </c>
      <c r="E14" s="50" t="s">
        <v>32</v>
      </c>
      <c r="F14" s="4"/>
      <c r="G14" s="4"/>
      <c r="H14" s="7" t="s">
        <v>4</v>
      </c>
      <c r="I14" s="8" t="s">
        <v>5</v>
      </c>
      <c r="J14" s="10"/>
      <c r="K14" s="10"/>
      <c r="L14" s="10"/>
      <c r="M14" s="10"/>
      <c r="N14" s="10"/>
      <c r="O14" s="10"/>
      <c r="P14" s="10"/>
      <c r="Q14" s="10"/>
      <c r="R14" s="10"/>
      <c r="S14" s="11"/>
    </row>
    <row r="15" ht="35.25" customHeight="1">
      <c r="A15" s="12" t="s">
        <v>6</v>
      </c>
      <c r="B15" s="13"/>
      <c r="C15" s="14" t="s">
        <v>7</v>
      </c>
      <c r="D15" s="14" t="s">
        <v>8</v>
      </c>
      <c r="E15" s="14" t="s">
        <v>9</v>
      </c>
      <c r="F15" s="14" t="s">
        <v>10</v>
      </c>
      <c r="G15" s="14" t="s">
        <v>11</v>
      </c>
      <c r="H15" s="14" t="s">
        <v>12</v>
      </c>
      <c r="I15" s="14" t="s">
        <v>13</v>
      </c>
      <c r="J15" s="14" t="s">
        <v>14</v>
      </c>
      <c r="K15" s="14" t="s">
        <v>15</v>
      </c>
      <c r="L15" s="14" t="s">
        <v>16</v>
      </c>
      <c r="M15" s="14" t="s">
        <v>17</v>
      </c>
      <c r="N15" s="15" t="s">
        <v>18</v>
      </c>
      <c r="O15" s="14" t="s">
        <v>19</v>
      </c>
      <c r="P15" s="14" t="s">
        <v>20</v>
      </c>
      <c r="Q15" s="14" t="s">
        <v>21</v>
      </c>
      <c r="R15" s="15" t="s">
        <v>22</v>
      </c>
      <c r="S15" s="13"/>
    </row>
    <row r="16" ht="35.25" customHeight="1">
      <c r="A16" s="17" t="s">
        <v>6</v>
      </c>
      <c r="B16" s="18"/>
      <c r="C16" s="19">
        <v>1.0</v>
      </c>
      <c r="D16" s="19">
        <v>1.0</v>
      </c>
      <c r="E16" s="20" t="s">
        <v>23</v>
      </c>
      <c r="F16" s="19" t="s">
        <v>24</v>
      </c>
      <c r="G16" s="19" t="s">
        <v>25</v>
      </c>
      <c r="H16" s="19" t="s">
        <v>26</v>
      </c>
      <c r="I16" s="19" t="s">
        <v>27</v>
      </c>
      <c r="J16" s="21" t="s">
        <v>28</v>
      </c>
      <c r="K16" s="19" t="s">
        <v>29</v>
      </c>
      <c r="L16" s="19" t="s">
        <v>33</v>
      </c>
      <c r="M16" s="20" t="s">
        <v>34</v>
      </c>
      <c r="N16" s="22"/>
      <c r="O16" s="19">
        <v>1.0</v>
      </c>
      <c r="P16" s="19">
        <v>30.0</v>
      </c>
      <c r="Q16" s="17">
        <v>6.0</v>
      </c>
      <c r="R16" s="23">
        <f t="shared" ref="R16:R23" si="2">ROUND(P16+(O16+5)*Q16,0)</f>
        <v>66</v>
      </c>
      <c r="S16" s="13"/>
    </row>
    <row r="17" ht="35.25" customHeight="1">
      <c r="A17" s="17"/>
      <c r="B17" s="18"/>
      <c r="C17" s="27"/>
      <c r="D17" s="27"/>
      <c r="E17" s="28"/>
      <c r="F17" s="27"/>
      <c r="G17" s="27"/>
      <c r="H17" s="27"/>
      <c r="I17" s="27"/>
      <c r="J17" s="29"/>
      <c r="K17" s="27"/>
      <c r="L17" s="27"/>
      <c r="M17" s="28"/>
      <c r="N17" s="51"/>
      <c r="O17" s="27"/>
      <c r="P17" s="27"/>
      <c r="Q17" s="31"/>
      <c r="R17" s="37">
        <f t="shared" si="2"/>
        <v>0</v>
      </c>
      <c r="S17" s="52"/>
    </row>
    <row r="18" ht="35.25" customHeight="1">
      <c r="A18" s="17"/>
      <c r="B18" s="18"/>
      <c r="C18" s="27"/>
      <c r="D18" s="27"/>
      <c r="E18" s="28"/>
      <c r="F18" s="27"/>
      <c r="G18" s="27"/>
      <c r="H18" s="27"/>
      <c r="I18" s="27"/>
      <c r="J18" s="29"/>
      <c r="K18" s="27"/>
      <c r="L18" s="27"/>
      <c r="M18" s="28"/>
      <c r="N18" s="30"/>
      <c r="O18" s="27"/>
      <c r="P18" s="27"/>
      <c r="Q18" s="31"/>
      <c r="R18" s="37">
        <f t="shared" si="2"/>
        <v>0</v>
      </c>
      <c r="S18" s="52"/>
    </row>
    <row r="19" ht="35.25" customHeight="1">
      <c r="A19" s="17"/>
      <c r="B19" s="18"/>
      <c r="C19" s="27"/>
      <c r="D19" s="27"/>
      <c r="E19" s="28"/>
      <c r="F19" s="27"/>
      <c r="G19" s="27"/>
      <c r="H19" s="27"/>
      <c r="I19" s="27"/>
      <c r="J19" s="29"/>
      <c r="K19" s="27"/>
      <c r="L19" s="27"/>
      <c r="M19" s="28"/>
      <c r="N19" s="30"/>
      <c r="O19" s="27"/>
      <c r="P19" s="27"/>
      <c r="Q19" s="31"/>
      <c r="R19" s="37">
        <f t="shared" si="2"/>
        <v>0</v>
      </c>
      <c r="S19" s="52"/>
    </row>
    <row r="20" ht="35.25" customHeight="1">
      <c r="A20" s="17"/>
      <c r="B20" s="18"/>
      <c r="C20" s="27"/>
      <c r="D20" s="27"/>
      <c r="E20" s="28"/>
      <c r="F20" s="27"/>
      <c r="G20" s="27"/>
      <c r="H20" s="27"/>
      <c r="I20" s="27"/>
      <c r="J20" s="29"/>
      <c r="K20" s="27"/>
      <c r="L20" s="27"/>
      <c r="M20" s="28"/>
      <c r="N20" s="30"/>
      <c r="O20" s="27"/>
      <c r="P20" s="27"/>
      <c r="Q20" s="31"/>
      <c r="R20" s="37">
        <f t="shared" si="2"/>
        <v>0</v>
      </c>
      <c r="S20" s="52"/>
    </row>
    <row r="21" ht="35.25" customHeight="1">
      <c r="A21" s="17"/>
      <c r="B21" s="18"/>
      <c r="C21" s="27"/>
      <c r="D21" s="27"/>
      <c r="E21" s="28"/>
      <c r="F21" s="27"/>
      <c r="G21" s="27"/>
      <c r="H21" s="27"/>
      <c r="I21" s="27"/>
      <c r="J21" s="29"/>
      <c r="K21" s="27"/>
      <c r="L21" s="27"/>
      <c r="M21" s="28"/>
      <c r="N21" s="30"/>
      <c r="O21" s="27"/>
      <c r="P21" s="27"/>
      <c r="Q21" s="31"/>
      <c r="R21" s="37">
        <f t="shared" si="2"/>
        <v>0</v>
      </c>
      <c r="S21" s="52"/>
    </row>
    <row r="22" ht="35.25" customHeight="1">
      <c r="A22" s="17"/>
      <c r="B22" s="18"/>
      <c r="C22" s="27"/>
      <c r="D22" s="27"/>
      <c r="E22" s="28"/>
      <c r="F22" s="27"/>
      <c r="G22" s="27"/>
      <c r="H22" s="27"/>
      <c r="I22" s="27"/>
      <c r="J22" s="29"/>
      <c r="K22" s="27"/>
      <c r="L22" s="27"/>
      <c r="M22" s="28"/>
      <c r="N22" s="30"/>
      <c r="O22" s="27"/>
      <c r="P22" s="27"/>
      <c r="Q22" s="31"/>
      <c r="R22" s="37">
        <f t="shared" si="2"/>
        <v>0</v>
      </c>
      <c r="S22" s="52"/>
    </row>
    <row r="23" ht="35.25" customHeight="1">
      <c r="A23" s="17"/>
      <c r="B23" s="18"/>
      <c r="C23" s="32"/>
      <c r="D23" s="32"/>
      <c r="E23" s="33"/>
      <c r="F23" s="33"/>
      <c r="G23" s="32"/>
      <c r="H23" s="32"/>
      <c r="I23" s="32"/>
      <c r="J23" s="34"/>
      <c r="K23" s="32"/>
      <c r="L23" s="32"/>
      <c r="M23" s="33"/>
      <c r="N23" s="35"/>
      <c r="O23" s="32"/>
      <c r="P23" s="32"/>
      <c r="Q23" s="36"/>
      <c r="R23" s="37">
        <f t="shared" si="2"/>
        <v>0</v>
      </c>
      <c r="S23" s="52"/>
    </row>
    <row r="24" ht="33.0" customHeight="1">
      <c r="A24" s="39"/>
      <c r="B24" s="40" t="s">
        <v>30</v>
      </c>
      <c r="C24" s="41"/>
      <c r="D24" s="42"/>
      <c r="E24" s="41"/>
      <c r="F24" s="41"/>
      <c r="G24" s="41"/>
      <c r="H24" s="41"/>
      <c r="I24" s="41"/>
      <c r="J24" s="41"/>
      <c r="K24" s="41"/>
      <c r="L24" s="41"/>
      <c r="M24" s="41"/>
      <c r="N24" s="43" t="s">
        <v>31</v>
      </c>
      <c r="O24" s="41"/>
      <c r="P24" s="41"/>
      <c r="Q24" s="41"/>
      <c r="R24" s="44">
        <f>round(SUM(R16:R23)/60, 1)</f>
        <v>1.1</v>
      </c>
      <c r="S24" s="53"/>
    </row>
    <row r="25" ht="24.0" customHeight="1">
      <c r="A25" s="46"/>
      <c r="B25" s="46"/>
      <c r="C25" s="46"/>
      <c r="D25" s="47"/>
      <c r="E25" s="48"/>
      <c r="F25" s="46"/>
      <c r="G25" s="48"/>
      <c r="H25" s="48"/>
      <c r="I25" s="48"/>
      <c r="J25" s="48"/>
      <c r="K25" s="48"/>
      <c r="L25" s="49"/>
      <c r="M25" s="48"/>
      <c r="N25" s="48"/>
      <c r="O25" s="48"/>
      <c r="P25" s="48"/>
      <c r="Q25" s="48"/>
      <c r="R25" s="48"/>
      <c r="S25" s="48"/>
    </row>
    <row r="26" ht="23.25" customHeight="1">
      <c r="A26" s="6"/>
      <c r="B26" s="7" t="s">
        <v>1</v>
      </c>
      <c r="C26" s="8">
        <v>3.0</v>
      </c>
      <c r="D26" s="9" t="s">
        <v>2</v>
      </c>
      <c r="E26" s="8" t="s">
        <v>35</v>
      </c>
      <c r="F26" s="4"/>
      <c r="G26" s="4"/>
      <c r="H26" s="7" t="s">
        <v>4</v>
      </c>
      <c r="I26" s="8" t="s">
        <v>5</v>
      </c>
      <c r="J26" s="10"/>
      <c r="K26" s="10"/>
      <c r="L26" s="10"/>
      <c r="M26" s="10"/>
      <c r="N26" s="10"/>
      <c r="O26" s="10"/>
      <c r="P26" s="10"/>
      <c r="Q26" s="10"/>
      <c r="R26" s="10"/>
      <c r="S26" s="11"/>
    </row>
    <row r="27" ht="35.25" customHeight="1">
      <c r="A27" s="12" t="s">
        <v>6</v>
      </c>
      <c r="B27" s="13"/>
      <c r="C27" s="14" t="s">
        <v>7</v>
      </c>
      <c r="D27" s="14" t="s">
        <v>8</v>
      </c>
      <c r="E27" s="14" t="s">
        <v>9</v>
      </c>
      <c r="F27" s="14" t="s">
        <v>10</v>
      </c>
      <c r="G27" s="14" t="s">
        <v>11</v>
      </c>
      <c r="H27" s="14" t="s">
        <v>12</v>
      </c>
      <c r="I27" s="14" t="s">
        <v>13</v>
      </c>
      <c r="J27" s="14" t="s">
        <v>14</v>
      </c>
      <c r="K27" s="14" t="s">
        <v>15</v>
      </c>
      <c r="L27" s="14" t="s">
        <v>16</v>
      </c>
      <c r="M27" s="14" t="s">
        <v>17</v>
      </c>
      <c r="N27" s="15" t="s">
        <v>18</v>
      </c>
      <c r="O27" s="14" t="s">
        <v>19</v>
      </c>
      <c r="P27" s="14" t="s">
        <v>20</v>
      </c>
      <c r="Q27" s="14" t="s">
        <v>21</v>
      </c>
      <c r="R27" s="15" t="s">
        <v>22</v>
      </c>
      <c r="S27" s="16"/>
    </row>
    <row r="28" ht="35.25" customHeight="1">
      <c r="A28" s="17"/>
      <c r="B28" s="18"/>
      <c r="C28" s="19"/>
      <c r="D28" s="19"/>
      <c r="E28" s="20"/>
      <c r="F28" s="19"/>
      <c r="G28" s="19"/>
      <c r="H28" s="19"/>
      <c r="I28" s="19"/>
      <c r="J28" s="21"/>
      <c r="K28" s="19"/>
      <c r="L28" s="19"/>
      <c r="M28" s="20"/>
      <c r="N28" s="22"/>
      <c r="O28" s="19"/>
      <c r="P28" s="19"/>
      <c r="Q28" s="17"/>
      <c r="R28" s="23">
        <f t="shared" ref="R28:R35" si="3">ROUND(P28+(O28+5)*Q28,0)</f>
        <v>0</v>
      </c>
      <c r="S28" s="24"/>
    </row>
    <row r="29" ht="35.25" customHeight="1">
      <c r="A29" s="17"/>
      <c r="B29" s="18"/>
      <c r="C29" s="27"/>
      <c r="D29" s="27"/>
      <c r="E29" s="28"/>
      <c r="F29" s="27"/>
      <c r="G29" s="27"/>
      <c r="H29" s="27"/>
      <c r="I29" s="27"/>
      <c r="J29" s="29"/>
      <c r="K29" s="27"/>
      <c r="L29" s="27"/>
      <c r="M29" s="28"/>
      <c r="N29" s="51"/>
      <c r="O29" s="27"/>
      <c r="P29" s="27"/>
      <c r="Q29" s="31"/>
      <c r="R29" s="25">
        <f t="shared" si="3"/>
        <v>0</v>
      </c>
      <c r="S29" s="26"/>
    </row>
    <row r="30" ht="35.25" customHeight="1">
      <c r="A30" s="17"/>
      <c r="B30" s="18"/>
      <c r="C30" s="27"/>
      <c r="D30" s="27"/>
      <c r="E30" s="28"/>
      <c r="F30" s="27"/>
      <c r="G30" s="27"/>
      <c r="H30" s="27"/>
      <c r="I30" s="27"/>
      <c r="J30" s="29"/>
      <c r="K30" s="27"/>
      <c r="L30" s="27"/>
      <c r="M30" s="28"/>
      <c r="N30" s="30"/>
      <c r="O30" s="27"/>
      <c r="P30" s="27"/>
      <c r="Q30" s="31"/>
      <c r="R30" s="25">
        <f t="shared" si="3"/>
        <v>0</v>
      </c>
      <c r="S30" s="26"/>
    </row>
    <row r="31" ht="35.25" customHeight="1">
      <c r="A31" s="17"/>
      <c r="B31" s="18"/>
      <c r="C31" s="27"/>
      <c r="D31" s="27"/>
      <c r="E31" s="28"/>
      <c r="F31" s="27"/>
      <c r="G31" s="27"/>
      <c r="H31" s="27"/>
      <c r="I31" s="27"/>
      <c r="J31" s="29"/>
      <c r="K31" s="27"/>
      <c r="L31" s="27"/>
      <c r="M31" s="28"/>
      <c r="N31" s="30"/>
      <c r="O31" s="27"/>
      <c r="P31" s="27"/>
      <c r="Q31" s="31"/>
      <c r="R31" s="25">
        <f t="shared" si="3"/>
        <v>0</v>
      </c>
      <c r="S31" s="26"/>
    </row>
    <row r="32" ht="35.25" customHeight="1">
      <c r="A32" s="17"/>
      <c r="B32" s="18"/>
      <c r="C32" s="27"/>
      <c r="D32" s="27"/>
      <c r="E32" s="28"/>
      <c r="F32" s="27"/>
      <c r="G32" s="27"/>
      <c r="H32" s="27"/>
      <c r="I32" s="27"/>
      <c r="J32" s="29"/>
      <c r="K32" s="27"/>
      <c r="L32" s="27"/>
      <c r="M32" s="28"/>
      <c r="N32" s="30"/>
      <c r="O32" s="27"/>
      <c r="P32" s="27"/>
      <c r="Q32" s="31"/>
      <c r="R32" s="25">
        <f t="shared" si="3"/>
        <v>0</v>
      </c>
      <c r="S32" s="26"/>
    </row>
    <row r="33" ht="35.25" customHeight="1">
      <c r="A33" s="17"/>
      <c r="B33" s="18"/>
      <c r="C33" s="27"/>
      <c r="D33" s="27"/>
      <c r="E33" s="28"/>
      <c r="F33" s="27"/>
      <c r="G33" s="27"/>
      <c r="H33" s="27"/>
      <c r="I33" s="27"/>
      <c r="J33" s="29"/>
      <c r="K33" s="27"/>
      <c r="L33" s="27"/>
      <c r="M33" s="28"/>
      <c r="N33" s="30"/>
      <c r="O33" s="27"/>
      <c r="P33" s="27"/>
      <c r="Q33" s="31"/>
      <c r="R33" s="25">
        <f t="shared" si="3"/>
        <v>0</v>
      </c>
      <c r="S33" s="26"/>
    </row>
    <row r="34" ht="35.25" customHeight="1">
      <c r="A34" s="17"/>
      <c r="B34" s="18"/>
      <c r="C34" s="27"/>
      <c r="D34" s="27"/>
      <c r="E34" s="28"/>
      <c r="F34" s="27"/>
      <c r="G34" s="27"/>
      <c r="H34" s="27"/>
      <c r="I34" s="27"/>
      <c r="J34" s="29"/>
      <c r="K34" s="27"/>
      <c r="L34" s="27"/>
      <c r="M34" s="28"/>
      <c r="N34" s="30"/>
      <c r="O34" s="27"/>
      <c r="P34" s="27"/>
      <c r="Q34" s="31"/>
      <c r="R34" s="25">
        <f t="shared" si="3"/>
        <v>0</v>
      </c>
      <c r="S34" s="26"/>
    </row>
    <row r="35" ht="35.25" customHeight="1">
      <c r="A35" s="54"/>
      <c r="C35" s="32"/>
      <c r="D35" s="32"/>
      <c r="E35" s="33"/>
      <c r="F35" s="33"/>
      <c r="G35" s="32"/>
      <c r="H35" s="32"/>
      <c r="I35" s="32"/>
      <c r="J35" s="34"/>
      <c r="K35" s="32"/>
      <c r="L35" s="32"/>
      <c r="M35" s="33"/>
      <c r="N35" s="35"/>
      <c r="O35" s="32"/>
      <c r="P35" s="32"/>
      <c r="Q35" s="36"/>
      <c r="R35" s="37">
        <f t="shared" si="3"/>
        <v>0</v>
      </c>
      <c r="S35" s="38"/>
    </row>
    <row r="36" ht="33.0" customHeight="1">
      <c r="A36" s="39"/>
      <c r="B36" s="40" t="s">
        <v>30</v>
      </c>
      <c r="C36" s="41"/>
      <c r="D36" s="42"/>
      <c r="E36" s="41"/>
      <c r="F36" s="41"/>
      <c r="G36" s="41"/>
      <c r="H36" s="41"/>
      <c r="I36" s="41"/>
      <c r="J36" s="41"/>
      <c r="K36" s="41"/>
      <c r="L36" s="41"/>
      <c r="M36" s="41"/>
      <c r="N36" s="43" t="s">
        <v>31</v>
      </c>
      <c r="O36" s="41"/>
      <c r="P36" s="41"/>
      <c r="Q36" s="41"/>
      <c r="R36" s="44">
        <f>round(SUM(R28:R35)/60, 1)</f>
        <v>0</v>
      </c>
      <c r="S36" s="45"/>
    </row>
    <row r="37" ht="24.0" customHeight="1">
      <c r="A37" s="46"/>
      <c r="B37" s="46"/>
      <c r="C37" s="46"/>
      <c r="D37" s="47"/>
      <c r="E37" s="48"/>
      <c r="F37" s="46"/>
      <c r="G37" s="48"/>
      <c r="H37" s="48"/>
      <c r="I37" s="48"/>
      <c r="J37" s="48"/>
      <c r="K37" s="48"/>
      <c r="L37" s="49"/>
      <c r="M37" s="48"/>
      <c r="N37" s="48"/>
      <c r="O37" s="48"/>
      <c r="P37" s="48"/>
      <c r="Q37" s="48"/>
      <c r="R37" s="48"/>
      <c r="S37" s="48"/>
    </row>
    <row r="38" ht="10.5" customHeight="1">
      <c r="A38" s="55"/>
      <c r="B38" s="56"/>
      <c r="C38" s="56"/>
      <c r="D38" s="57"/>
      <c r="E38" s="58"/>
      <c r="F38" s="56"/>
      <c r="G38" s="58"/>
      <c r="H38" s="58"/>
      <c r="I38" s="58"/>
      <c r="J38" s="59"/>
      <c r="K38" s="58"/>
      <c r="L38" s="60"/>
      <c r="M38" s="61"/>
      <c r="N38" s="58"/>
      <c r="O38" s="58"/>
      <c r="P38" s="58"/>
      <c r="Q38" s="58"/>
      <c r="R38" s="58"/>
      <c r="S38" s="62"/>
    </row>
    <row r="39" ht="29.25" customHeight="1">
      <c r="A39" s="46"/>
      <c r="B39" s="46" t="str">
        <f>IMAGE("https://www.studiobinder.com/wp-content/uploads/2015/04/studiobinder-logo-gray.png")</f>
        <v/>
      </c>
      <c r="D39" s="63" t="s">
        <v>36</v>
      </c>
      <c r="P39" s="64" t="str">
        <f>HYPERLINK("http://www.studiobinder.com/","© 2016 - StudioBinder")</f>
        <v>© 2016 - StudioBinder</v>
      </c>
    </row>
  </sheetData>
  <mergeCells count="54">
    <mergeCell ref="C1:H1"/>
    <mergeCell ref="E2:G2"/>
    <mergeCell ref="A3:B3"/>
    <mergeCell ref="A4:B4"/>
    <mergeCell ref="A5:B5"/>
    <mergeCell ref="A6:B6"/>
    <mergeCell ref="A7:B7"/>
    <mergeCell ref="A8:B8"/>
    <mergeCell ref="A9:B9"/>
    <mergeCell ref="A10:B10"/>
    <mergeCell ref="B12:C12"/>
    <mergeCell ref="D12:M12"/>
    <mergeCell ref="N12:Q12"/>
    <mergeCell ref="E14:G14"/>
    <mergeCell ref="A11:B11"/>
    <mergeCell ref="A15:B15"/>
    <mergeCell ref="A16:B16"/>
    <mergeCell ref="A17:B17"/>
    <mergeCell ref="A18:B18"/>
    <mergeCell ref="A19:B19"/>
    <mergeCell ref="A20:B20"/>
    <mergeCell ref="R22:S22"/>
    <mergeCell ref="R23:S23"/>
    <mergeCell ref="N24:Q24"/>
    <mergeCell ref="R24:S24"/>
    <mergeCell ref="R15:S15"/>
    <mergeCell ref="R16:S16"/>
    <mergeCell ref="R17:S17"/>
    <mergeCell ref="R18:S18"/>
    <mergeCell ref="R19:S19"/>
    <mergeCell ref="R20:S20"/>
    <mergeCell ref="R21:S21"/>
    <mergeCell ref="A21:B21"/>
    <mergeCell ref="A22:B22"/>
    <mergeCell ref="A23:B23"/>
    <mergeCell ref="B24:C24"/>
    <mergeCell ref="D24:M24"/>
    <mergeCell ref="E26:G26"/>
    <mergeCell ref="A27:B27"/>
    <mergeCell ref="A35:B35"/>
    <mergeCell ref="B36:C36"/>
    <mergeCell ref="D36:M36"/>
    <mergeCell ref="N36:Q36"/>
    <mergeCell ref="I38:J38"/>
    <mergeCell ref="B39:C39"/>
    <mergeCell ref="D39:O39"/>
    <mergeCell ref="P39:S39"/>
    <mergeCell ref="A28:B28"/>
    <mergeCell ref="A29:B29"/>
    <mergeCell ref="A30:B30"/>
    <mergeCell ref="A31:B31"/>
    <mergeCell ref="A32:B32"/>
    <mergeCell ref="A33:B33"/>
    <mergeCell ref="A34:B34"/>
  </mergeCells>
  <conditionalFormatting sqref="A4:S13 A16:S25 A28:H39 I28:M38 N28:N39 O28:S38">
    <cfRule type="containsText" dxfId="0" priority="1" operator="containsText" text="jib">
      <formula>NOT(ISERROR(SEARCH(("jib"),(A4))))</formula>
    </cfRule>
  </conditionalFormatting>
  <dataValidations>
    <dataValidation type="list" allowBlank="1" sqref="F4:F11 F16:F23 F28:F35">
      <formula1>'Template Options'!$A$2:$A$16</formula1>
    </dataValidation>
    <dataValidation type="list" allowBlank="1" sqref="G4:G11 G16:G23 G28:G35">
      <formula1>'Template Options'!$B$2:$B$7</formula1>
    </dataValidation>
    <dataValidation type="list" allowBlank="1" sqref="K4:K11 K16:K23 K28:K35">
      <formula1>'Template Options'!$F$2:$F$7</formula1>
    </dataValidation>
    <dataValidation type="list" allowBlank="1" sqref="A4:A11 A16:A23 A28:A35">
      <formula1>"✓,Nice-to-Have"</formula1>
    </dataValidation>
    <dataValidation type="list" allowBlank="1" sqref="S4:S11 S28:S35">
      <formula1>"✓,Missed,TBD"</formula1>
    </dataValidation>
    <dataValidation type="list" allowBlank="1" sqref="L4:L11 L16:L23 L28:L35">
      <formula1>'Template Options'!$G$2:$G$8</formula1>
    </dataValidation>
    <dataValidation type="list" allowBlank="1" sqref="I4:I11 I16:I23 I28:I35">
      <formula1>'Template Options'!$D$2:$D$17</formula1>
    </dataValidation>
    <dataValidation type="list" allowBlank="1" sqref="J4:J11 J16:J23 J28:J35">
      <formula1>'Template Options'!$E$2:$E$15</formula1>
    </dataValidation>
    <dataValidation type="list" allowBlank="1" sqref="H4:H11 H16:H23 H28:H35">
      <formula1>'Template Options'!$C$2:$C$10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2.75"/>
  <cols>
    <col customWidth="1" min="1" max="7" width="25.43"/>
  </cols>
  <sheetData>
    <row r="1" ht="34.5" customHeight="1">
      <c r="A1" s="65" t="s">
        <v>10</v>
      </c>
      <c r="B1" s="66" t="s">
        <v>11</v>
      </c>
      <c r="C1" s="67" t="s">
        <v>12</v>
      </c>
      <c r="D1" s="67" t="s">
        <v>13</v>
      </c>
      <c r="E1" s="67" t="s">
        <v>14</v>
      </c>
      <c r="F1" s="66" t="s">
        <v>15</v>
      </c>
      <c r="G1" s="66" t="s">
        <v>16</v>
      </c>
    </row>
    <row r="2" ht="34.5" customHeight="1">
      <c r="A2" s="68" t="s">
        <v>24</v>
      </c>
      <c r="B2" s="69" t="s">
        <v>25</v>
      </c>
      <c r="C2" s="69" t="s">
        <v>26</v>
      </c>
      <c r="D2" s="70" t="s">
        <v>27</v>
      </c>
      <c r="E2" s="69" t="s">
        <v>28</v>
      </c>
      <c r="F2" s="69" t="s">
        <v>29</v>
      </c>
      <c r="G2" s="69" t="s">
        <v>33</v>
      </c>
    </row>
    <row r="3" ht="34.5" customHeight="1">
      <c r="A3" s="68" t="s">
        <v>37</v>
      </c>
      <c r="B3" s="69" t="s">
        <v>38</v>
      </c>
      <c r="C3" s="69" t="s">
        <v>39</v>
      </c>
      <c r="D3" s="70" t="s">
        <v>40</v>
      </c>
      <c r="E3" s="69" t="s">
        <v>41</v>
      </c>
      <c r="F3" s="69" t="s">
        <v>42</v>
      </c>
      <c r="G3" s="69" t="s">
        <v>43</v>
      </c>
    </row>
    <row r="4" ht="34.5" customHeight="1">
      <c r="A4" s="68" t="s">
        <v>44</v>
      </c>
      <c r="B4" s="69" t="s">
        <v>45</v>
      </c>
      <c r="C4" s="69" t="s">
        <v>46</v>
      </c>
      <c r="D4" s="70" t="s">
        <v>47</v>
      </c>
      <c r="E4" s="69" t="s">
        <v>48</v>
      </c>
      <c r="F4" s="69" t="s">
        <v>49</v>
      </c>
      <c r="G4" s="69" t="s">
        <v>50</v>
      </c>
    </row>
    <row r="5" ht="34.5" customHeight="1">
      <c r="A5" s="68" t="s">
        <v>51</v>
      </c>
      <c r="B5" s="70" t="s">
        <v>52</v>
      </c>
      <c r="C5" s="70" t="s">
        <v>53</v>
      </c>
      <c r="D5" s="70" t="s">
        <v>54</v>
      </c>
      <c r="E5" s="69" t="s">
        <v>55</v>
      </c>
      <c r="F5" s="69" t="s">
        <v>56</v>
      </c>
      <c r="G5" s="69" t="s">
        <v>57</v>
      </c>
    </row>
    <row r="6" ht="34.5" customHeight="1">
      <c r="A6" s="68" t="s">
        <v>58</v>
      </c>
      <c r="B6" s="70"/>
      <c r="C6" s="69" t="s">
        <v>59</v>
      </c>
      <c r="D6" s="70" t="s">
        <v>47</v>
      </c>
      <c r="E6" s="69" t="s">
        <v>60</v>
      </c>
      <c r="F6" s="70" t="s">
        <v>61</v>
      </c>
      <c r="G6" s="69" t="s">
        <v>62</v>
      </c>
    </row>
    <row r="7" ht="34.5" customHeight="1">
      <c r="A7" s="68" t="s">
        <v>63</v>
      </c>
      <c r="B7" s="70"/>
      <c r="C7" s="69" t="s">
        <v>64</v>
      </c>
      <c r="D7" s="70" t="s">
        <v>55</v>
      </c>
      <c r="E7" s="69" t="s">
        <v>65</v>
      </c>
      <c r="F7" s="70"/>
      <c r="G7" s="70"/>
    </row>
    <row r="8" ht="34.5" customHeight="1">
      <c r="A8" s="68" t="s">
        <v>66</v>
      </c>
      <c r="B8" s="70"/>
      <c r="C8" s="69" t="s">
        <v>67</v>
      </c>
      <c r="D8" s="70" t="s">
        <v>68</v>
      </c>
      <c r="E8" s="69" t="s">
        <v>69</v>
      </c>
      <c r="F8" s="71"/>
      <c r="G8" s="70"/>
    </row>
    <row r="9" ht="34.5" customHeight="1">
      <c r="A9" s="68" t="s">
        <v>70</v>
      </c>
      <c r="B9" s="70"/>
      <c r="C9" s="70"/>
      <c r="D9" s="70" t="s">
        <v>71</v>
      </c>
      <c r="E9" s="70" t="s">
        <v>72</v>
      </c>
      <c r="F9" s="70"/>
      <c r="G9" s="70"/>
    </row>
    <row r="10" ht="34.5" customHeight="1">
      <c r="A10" s="68" t="s">
        <v>73</v>
      </c>
      <c r="B10" s="70"/>
      <c r="C10" s="70"/>
      <c r="D10" s="70" t="s">
        <v>60</v>
      </c>
      <c r="E10" s="70" t="s">
        <v>74</v>
      </c>
      <c r="F10" s="70"/>
      <c r="G10" s="70"/>
    </row>
    <row r="11" ht="34.5" customHeight="1">
      <c r="A11" s="68" t="s">
        <v>75</v>
      </c>
      <c r="B11" s="70"/>
      <c r="C11" s="70"/>
      <c r="D11" s="70" t="s">
        <v>28</v>
      </c>
      <c r="E11" s="70" t="s">
        <v>76</v>
      </c>
      <c r="F11" s="70"/>
      <c r="G11" s="70"/>
    </row>
    <row r="12" ht="34.5" customHeight="1">
      <c r="A12" s="68" t="s">
        <v>77</v>
      </c>
      <c r="B12" s="70"/>
      <c r="C12" s="70"/>
      <c r="D12" s="70" t="s">
        <v>78</v>
      </c>
      <c r="E12" s="70" t="s">
        <v>79</v>
      </c>
      <c r="F12" s="70"/>
      <c r="G12" s="70"/>
    </row>
    <row r="13" ht="34.5" customHeight="1">
      <c r="A13" s="68" t="s">
        <v>80</v>
      </c>
      <c r="B13" s="70"/>
      <c r="C13" s="70"/>
      <c r="D13" s="70" t="s">
        <v>81</v>
      </c>
      <c r="E13" s="70" t="s">
        <v>82</v>
      </c>
      <c r="F13" s="70"/>
      <c r="G13" s="70"/>
    </row>
    <row r="14" ht="34.5" customHeight="1">
      <c r="A14" s="68" t="s">
        <v>83</v>
      </c>
      <c r="B14" s="70"/>
      <c r="C14" s="70"/>
      <c r="D14" s="70" t="s">
        <v>84</v>
      </c>
      <c r="E14" s="70"/>
      <c r="F14" s="70"/>
      <c r="G14" s="70"/>
    </row>
    <row r="15" ht="34.5" customHeight="1">
      <c r="A15" s="72"/>
      <c r="B15" s="70"/>
      <c r="C15" s="70"/>
      <c r="D15" s="70" t="s">
        <v>85</v>
      </c>
      <c r="E15" s="70"/>
      <c r="F15" s="70"/>
      <c r="G15" s="70"/>
    </row>
    <row r="16" ht="34.5" customHeight="1">
      <c r="A16" s="72"/>
      <c r="B16" s="70"/>
      <c r="C16" s="70"/>
      <c r="D16" s="70"/>
      <c r="E16" s="70"/>
      <c r="F16" s="70"/>
      <c r="G16" s="70"/>
    </row>
    <row r="17" ht="34.5" customHeight="1">
      <c r="A17" s="73"/>
      <c r="B17" s="70"/>
      <c r="C17" s="70"/>
      <c r="D17" s="70"/>
      <c r="E17" s="70"/>
      <c r="F17" s="70"/>
      <c r="G17" s="70"/>
    </row>
    <row r="18" ht="34.5" customHeight="1">
      <c r="A18" s="73"/>
      <c r="B18" s="70"/>
      <c r="C18" s="70"/>
      <c r="D18" s="70"/>
      <c r="E18" s="70"/>
      <c r="F18" s="70"/>
      <c r="G18" s="70"/>
    </row>
    <row r="19" ht="34.5" customHeight="1">
      <c r="A19" s="73"/>
      <c r="B19" s="70"/>
      <c r="C19" s="70"/>
      <c r="D19" s="70"/>
      <c r="E19" s="70"/>
      <c r="F19" s="70"/>
      <c r="G19" s="70"/>
    </row>
    <row r="20" ht="34.5" customHeight="1">
      <c r="A20" s="73"/>
      <c r="B20" s="70"/>
      <c r="C20" s="70"/>
      <c r="D20" s="70"/>
      <c r="E20" s="70"/>
      <c r="F20" s="70"/>
      <c r="G20" s="70"/>
    </row>
    <row r="21" ht="34.5" customHeight="1">
      <c r="A21" s="73"/>
      <c r="B21" s="70"/>
      <c r="C21" s="70"/>
      <c r="D21" s="70"/>
      <c r="E21" s="70"/>
      <c r="F21" s="70"/>
      <c r="G21" s="70"/>
    </row>
    <row r="22" ht="34.5" customHeight="1">
      <c r="A22" s="73"/>
      <c r="B22" s="70"/>
      <c r="C22" s="70"/>
      <c r="D22" s="70"/>
      <c r="E22" s="70"/>
      <c r="F22" s="70"/>
      <c r="G22" s="70"/>
    </row>
    <row r="23" ht="34.5" customHeight="1">
      <c r="A23" s="73"/>
      <c r="B23" s="70"/>
      <c r="C23" s="70"/>
      <c r="D23" s="70"/>
      <c r="E23" s="70"/>
      <c r="F23" s="70"/>
      <c r="G23" s="70"/>
    </row>
    <row r="24" ht="34.5" customHeight="1">
      <c r="A24" s="73"/>
      <c r="B24" s="70"/>
      <c r="C24" s="70"/>
      <c r="D24" s="70"/>
      <c r="E24" s="70"/>
      <c r="F24" s="70"/>
      <c r="G24" s="70"/>
    </row>
    <row r="25" ht="34.5" customHeight="1">
      <c r="A25" s="73"/>
      <c r="B25" s="70"/>
      <c r="C25" s="70"/>
      <c r="D25" s="70"/>
      <c r="E25" s="70"/>
      <c r="F25" s="70"/>
      <c r="G25" s="70"/>
    </row>
    <row r="26" ht="34.5" customHeight="1">
      <c r="A26" s="73"/>
      <c r="B26" s="70"/>
      <c r="C26" s="70"/>
      <c r="D26" s="70"/>
      <c r="E26" s="70"/>
      <c r="F26" s="70"/>
      <c r="G26" s="70"/>
    </row>
    <row r="27" ht="34.5" customHeight="1">
      <c r="A27" s="73"/>
      <c r="B27" s="70"/>
      <c r="C27" s="70"/>
      <c r="D27" s="70"/>
      <c r="E27" s="70"/>
      <c r="F27" s="70"/>
      <c r="G27" s="70"/>
    </row>
    <row r="28" ht="34.5" customHeight="1">
      <c r="A28" s="73"/>
      <c r="B28" s="70"/>
      <c r="C28" s="70"/>
      <c r="D28" s="70"/>
      <c r="E28" s="70"/>
      <c r="F28" s="70"/>
      <c r="G28" s="70"/>
    </row>
    <row r="29" ht="34.5" customHeight="1">
      <c r="A29" s="73"/>
      <c r="B29" s="70"/>
      <c r="C29" s="70"/>
      <c r="D29" s="70"/>
      <c r="E29" s="70"/>
      <c r="F29" s="70"/>
      <c r="G29" s="70"/>
    </row>
    <row r="30" ht="34.5" customHeight="1">
      <c r="A30" s="73"/>
      <c r="B30" s="70"/>
      <c r="C30" s="70"/>
      <c r="D30" s="70"/>
      <c r="E30" s="70"/>
      <c r="F30" s="70"/>
      <c r="G30" s="70"/>
    </row>
    <row r="31" ht="34.5" customHeight="1">
      <c r="A31" s="73"/>
      <c r="B31" s="70"/>
      <c r="C31" s="70"/>
      <c r="D31" s="70"/>
      <c r="E31" s="70"/>
      <c r="F31" s="70"/>
      <c r="G31" s="70"/>
    </row>
    <row r="32" ht="34.5" customHeight="1">
      <c r="A32" s="73"/>
      <c r="B32" s="70"/>
      <c r="C32" s="70"/>
      <c r="D32" s="70"/>
      <c r="E32" s="70"/>
      <c r="F32" s="70"/>
      <c r="G32" s="70"/>
    </row>
    <row r="33" ht="34.5" customHeight="1">
      <c r="A33" s="73"/>
      <c r="B33" s="70"/>
      <c r="C33" s="70"/>
      <c r="D33" s="70"/>
      <c r="E33" s="70"/>
      <c r="F33" s="70"/>
      <c r="G33" s="70"/>
    </row>
    <row r="34" ht="34.5" customHeight="1">
      <c r="A34" s="73"/>
      <c r="B34" s="70"/>
      <c r="C34" s="70"/>
      <c r="D34" s="70"/>
      <c r="E34" s="70"/>
      <c r="F34" s="70"/>
      <c r="G34" s="70"/>
    </row>
    <row r="35" ht="34.5" customHeight="1">
      <c r="A35" s="73"/>
      <c r="B35" s="70"/>
      <c r="C35" s="70"/>
      <c r="D35" s="70"/>
      <c r="E35" s="70"/>
      <c r="F35" s="70"/>
      <c r="G35" s="70"/>
    </row>
    <row r="36" ht="34.5" customHeight="1">
      <c r="A36" s="73"/>
      <c r="B36" s="70"/>
      <c r="C36" s="70"/>
      <c r="D36" s="70"/>
      <c r="E36" s="70"/>
      <c r="F36" s="70"/>
      <c r="G36" s="70"/>
    </row>
  </sheetData>
  <conditionalFormatting sqref="F5">
    <cfRule type="containsText" dxfId="0" priority="1" operator="containsText" text="jib">
      <formula>NOT(ISERROR(SEARCH(("jib"),(F5))))</formula>
    </cfRule>
  </conditionalFormatting>
  <drawing r:id="rId2"/>
  <legacyDrawing r:id="rId3"/>
</worksheet>
</file>